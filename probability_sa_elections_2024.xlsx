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ta" sheetId="2" state="visible" r:id="rId4"/>
    <sheet name="Cross-Tab" sheetId="3" state="visible" r:id="rId5"/>
    <sheet name="Probabilit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<sst xmlns="http://schemas.openxmlformats.org/spreadsheetml/2006/main" count="214" uniqueCount="62">
  <si>
    <t xml:space="preserve">South African National Elections 2024 — Probability &amp; Cross-Tabulation</t>
  </si>
  <si>
    <t xml:space="preserve">Excel-based probability concepts project | Portfolio piece</t>
  </si>
  <si>
    <t xml:space="preserve">Contents</t>
  </si>
  <si>
    <t xml:space="preserve">• Data</t>
  </si>
  <si>
    <t xml:space="preserve">Raw, tidy dataset — one row per Province x Party with real vote counts.</t>
  </si>
  <si>
    <t xml:space="preserve">• Cross-Tab</t>
  </si>
  <si>
    <t xml:space="preserve">Two-way contingency table (Province x Party) built with SUMIFS formulas.</t>
  </si>
  <si>
    <t xml:space="preserve">• Probabilities</t>
  </si>
  <si>
    <t xml:space="preserve">Empirical, marginal, joint, and conditional probability calculations, all formula-driven.</t>
  </si>
  <si>
    <t xml:space="preserve">Data source</t>
  </si>
  <si>
    <t xml:space="preserve">Electoral Commission of South Africa (IEC) — official 2024 Provincial Legislature</t>
  </si>
  <si>
    <t xml:space="preserve">election results (provincial ballot), 29 May 2024. Compiled via Wikipedia:</t>
  </si>
  <si>
    <t xml:space="preserve">'2024 South African provincial elections'. Figures are the real, official vote</t>
  </si>
  <si>
    <t xml:space="preserve">counts for the top 5 parties by national seat count in each of the 9 provinces.</t>
  </si>
  <si>
    <t xml:space="preserve">How to use</t>
  </si>
  <si>
    <t xml:space="preserve">1. Start on 'Data' to see the tidy source table (Province, Party, Votes).</t>
  </si>
  <si>
    <t xml:space="preserve">2. 'Cross-Tab' pivots that data into a contingency table using SUMIFS — the</t>
  </si>
  <si>
    <t xml:space="preserve">   classic first step of a probability/statistics analysis in Excel.</t>
  </si>
  <si>
    <t xml:space="preserve">3. 'Probabilities' derives empirical, marginal, joint and conditional</t>
  </si>
  <si>
    <t xml:space="preserve">   probabilities directly from the cross-tab, all as live formulas.</t>
  </si>
  <si>
    <t xml:space="preserve">province</t>
  </si>
  <si>
    <t xml:space="preserve">party</t>
  </si>
  <si>
    <t xml:space="preserve">votes</t>
  </si>
  <si>
    <t xml:space="preserve">Eastern Cape</t>
  </si>
  <si>
    <t xml:space="preserve">ANC</t>
  </si>
  <si>
    <t xml:space="preserve">DA</t>
  </si>
  <si>
    <t xml:space="preserve">EFF</t>
  </si>
  <si>
    <t xml:space="preserve">MK</t>
  </si>
  <si>
    <t xml:space="preserve">IFP</t>
  </si>
  <si>
    <t xml:space="preserve">Free State</t>
  </si>
  <si>
    <t xml:space="preserve">Gauteng</t>
  </si>
  <si>
    <t xml:space="preserve">KwaZulu-Natal</t>
  </si>
  <si>
    <t xml:space="preserve">Limpopo</t>
  </si>
  <si>
    <t xml:space="preserve">Mpumalanga</t>
  </si>
  <si>
    <t xml:space="preserve">North West</t>
  </si>
  <si>
    <t xml:space="preserve">Northern Cape</t>
  </si>
  <si>
    <t xml:space="preserve">Western Cape</t>
  </si>
  <si>
    <t xml:space="preserve">Source: Electoral Commission of South Africa, official 2024 provincial ballot results (via Wikipedia).</t>
  </si>
  <si>
    <t xml:space="preserve">Province</t>
  </si>
  <si>
    <t xml:space="preserve">Row Total</t>
  </si>
  <si>
    <t xml:space="preserve">Column Total</t>
  </si>
  <si>
    <t xml:space="preserve">Grand total votes (all provinces, top 5 parties): ='Cross-Tab'!G11</t>
  </si>
  <si>
    <t xml:space="preserve">Probability Concepts — derived from the Cross-Tab</t>
  </si>
  <si>
    <t xml:space="preserve">All values below are LIVE FORMULAS referencing the 'Cross-Tab' sheet.</t>
  </si>
  <si>
    <t xml:space="preserve">1) Empirical / Marginal Probability — P(Party)</t>
  </si>
  <si>
    <t xml:space="preserve">Party</t>
  </si>
  <si>
    <t xml:space="preserve">Votes</t>
  </si>
  <si>
    <t xml:space="preserve">P(Party) = Votes / Grand Total</t>
  </si>
  <si>
    <t xml:space="preserve">Grand Total</t>
  </si>
  <si>
    <t xml:space="preserve">Note: this is the empirical probability of a randomly selected ballot (among the top 5</t>
  </si>
  <si>
    <t xml:space="preserve">parties, across all 9 provinces) belonging to a given party — i.e. its overall vote share.</t>
  </si>
  <si>
    <t xml:space="preserve">2) Marginal Probability — P(Province)</t>
  </si>
  <si>
    <t xml:space="preserve">P(Province) = Votes / Grand Total</t>
  </si>
  <si>
    <t xml:space="preserve">3) Joint Probability — P(Province AND Party) = cell votes / Grand Total</t>
  </si>
  <si>
    <t xml:space="preserve">Sanity check — all joint probabilities sum to 100%:</t>
  </si>
  <si>
    <t xml:space="preserve">4) Conditional Probability — P(Party | Province) = cell votes / Province Row Total</t>
  </si>
  <si>
    <t xml:space="preserve">Read as: 'given a ballot was cast in this province, what is the probability</t>
  </si>
  <si>
    <t xml:space="preserve">it went to this party?' Each row sums to 100%.</t>
  </si>
  <si>
    <t xml:space="preserve">5) Conditional Probability — P(Province | Party) = cell votes / Party Column Total</t>
  </si>
  <si>
    <t xml:space="preserve">Read as: 'given a ballot went to this party nationally, what is the probability</t>
  </si>
  <si>
    <t xml:space="preserve">it was cast in this province?' Each COLUMN sums to 100%.</t>
  </si>
  <si>
    <t xml:space="preserve">Column-sum check (ANC):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</si>
</sst>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  <c r="C6" s="4" t="s">
        <v>4</v>
      </c>
    </row>
    <row r="7" customFormat="false" ht="15" hidden="false" customHeight="false" outlineLevel="0" collapsed="false">
      <c r="B7" s="3" t="s">
        <v>5</v>
      </c>
      <c r="C7" s="4" t="s">
        <v>6</v>
      </c>
    </row>
    <row r="8" customFormat="false" ht="15" hidden="false" customHeight="false" outlineLevel="0" collapsed="false">
      <c r="B8" s="3" t="s">
        <v>7</v>
      </c>
      <c r="C8" s="4" t="s">
        <v>8</v>
      </c>
    </row>
    <row r="10" customFormat="false" ht="15" hidden="false" customHeight="false" outlineLevel="0" collapsed="false">
      <c r="B10" s="3" t="s">
        <v>9</v>
      </c>
    </row>
    <row r="11" customFormat="false" ht="15" hidden="false" customHeight="false" outlineLevel="0" collapsed="false">
      <c r="B11" s="4" t="s">
        <v>10</v>
      </c>
    </row>
    <row r="12" customFormat="false" ht="15" hidden="false" customHeight="false" outlineLevel="0" collapsed="false">
      <c r="B12" s="4" t="s">
        <v>11</v>
      </c>
    </row>
    <row r="13" customFormat="false" ht="15" hidden="false" customHeight="false" outlineLevel="0" collapsed="false">
      <c r="B13" s="4" t="s">
        <v>12</v>
      </c>
    </row>
    <row r="14" customFormat="false" ht="15" hidden="false" customHeight="false" outlineLevel="0" collapsed="false">
      <c r="B14" s="4" t="s">
        <v>13</v>
      </c>
    </row>
    <row r="16" customFormat="false" ht="15" hidden="false" customHeight="false" outlineLevel="0" collapsed="false">
      <c r="B16" s="3" t="s">
        <v>14</v>
      </c>
    </row>
    <row r="17" customFormat="false" ht="15" hidden="false" customHeight="false" outlineLevel="0" collapsed="false">
      <c r="B17" s="4" t="s">
        <v>15</v>
      </c>
    </row>
    <row r="18" customFormat="false" ht="15" hidden="false" customHeight="false" outlineLevel="0" collapsed="false">
      <c r="B18" s="4" t="s">
        <v>16</v>
      </c>
    </row>
    <row r="19" customFormat="false" ht="15" hidden="false" customHeight="false" outlineLevel="0" collapsed="false">
      <c r="B19" s="4" t="s">
        <v>17</v>
      </c>
    </row>
    <row r="20" customFormat="false" ht="15" hidden="false" customHeight="false" outlineLevel="0" collapsed="false">
      <c r="B20" s="4" t="s">
        <v>18</v>
      </c>
    </row>
    <row r="21" customFormat="false" ht="15" hidden="false" customHeight="false" outlineLevel="0" collapsed="false">
      <c r="B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</row>
    <row r="2" customFormat="false" ht="15" hidden="false" customHeight="false" outlineLevel="0" collapsed="false">
      <c r="A2" s="4" t="s">
        <v>23</v>
      </c>
      <c r="B2" s="4" t="s">
        <v>24</v>
      </c>
      <c r="C2" s="6" t="n">
        <v>1114294</v>
      </c>
    </row>
    <row r="3" customFormat="false" ht="15" hidden="false" customHeight="false" outlineLevel="0" collapsed="false">
      <c r="A3" s="4" t="s">
        <v>23</v>
      </c>
      <c r="B3" s="4" t="s">
        <v>25</v>
      </c>
      <c r="C3" s="6" t="n">
        <v>267007</v>
      </c>
    </row>
    <row r="4" customFormat="false" ht="15" hidden="false" customHeight="false" outlineLevel="0" collapsed="false">
      <c r="A4" s="4" t="s">
        <v>23</v>
      </c>
      <c r="B4" s="4" t="s">
        <v>26</v>
      </c>
      <c r="C4" s="6" t="n">
        <v>181855</v>
      </c>
    </row>
    <row r="5" customFormat="false" ht="15" hidden="false" customHeight="false" outlineLevel="0" collapsed="false">
      <c r="A5" s="4" t="s">
        <v>23</v>
      </c>
      <c r="B5" s="4" t="s">
        <v>27</v>
      </c>
      <c r="C5" s="6" t="n">
        <v>25904</v>
      </c>
    </row>
    <row r="6" customFormat="false" ht="15" hidden="false" customHeight="false" outlineLevel="0" collapsed="false">
      <c r="A6" s="4" t="s">
        <v>23</v>
      </c>
      <c r="B6" s="4" t="s">
        <v>28</v>
      </c>
      <c r="C6" s="6" t="n">
        <v>1343</v>
      </c>
    </row>
    <row r="7" customFormat="false" ht="15" hidden="false" customHeight="false" outlineLevel="0" collapsed="false">
      <c r="A7" s="4" t="s">
        <v>29</v>
      </c>
      <c r="B7" s="4" t="s">
        <v>24</v>
      </c>
      <c r="C7" s="6" t="n">
        <v>429241</v>
      </c>
    </row>
    <row r="8" customFormat="false" ht="15" hidden="false" customHeight="false" outlineLevel="0" collapsed="false">
      <c r="A8" s="4" t="s">
        <v>29</v>
      </c>
      <c r="B8" s="4" t="s">
        <v>25</v>
      </c>
      <c r="C8" s="6" t="n">
        <v>181062</v>
      </c>
    </row>
    <row r="9" customFormat="false" ht="15" hidden="false" customHeight="false" outlineLevel="0" collapsed="false">
      <c r="A9" s="4" t="s">
        <v>29</v>
      </c>
      <c r="B9" s="4" t="s">
        <v>26</v>
      </c>
      <c r="C9" s="6" t="n">
        <v>111850</v>
      </c>
    </row>
    <row r="10" customFormat="false" ht="15" hidden="false" customHeight="false" outlineLevel="0" collapsed="false">
      <c r="A10" s="4" t="s">
        <v>29</v>
      </c>
      <c r="B10" s="4" t="s">
        <v>27</v>
      </c>
      <c r="C10" s="6" t="n">
        <v>15985</v>
      </c>
    </row>
    <row r="11" customFormat="false" ht="15" hidden="false" customHeight="false" outlineLevel="0" collapsed="false">
      <c r="A11" s="4" t="s">
        <v>29</v>
      </c>
      <c r="B11" s="4" t="s">
        <v>28</v>
      </c>
      <c r="C11" s="6" t="n">
        <v>1537</v>
      </c>
    </row>
    <row r="12" customFormat="false" ht="15" hidden="false" customHeight="false" outlineLevel="0" collapsed="false">
      <c r="A12" s="4" t="s">
        <v>30</v>
      </c>
      <c r="B12" s="4" t="s">
        <v>24</v>
      </c>
      <c r="C12" s="6" t="n">
        <v>1367248</v>
      </c>
    </row>
    <row r="13" customFormat="false" ht="15" hidden="false" customHeight="false" outlineLevel="0" collapsed="false">
      <c r="A13" s="4" t="s">
        <v>30</v>
      </c>
      <c r="B13" s="4" t="s">
        <v>25</v>
      </c>
      <c r="C13" s="6" t="n">
        <v>1079229</v>
      </c>
    </row>
    <row r="14" customFormat="false" ht="15" hidden="false" customHeight="false" outlineLevel="0" collapsed="false">
      <c r="A14" s="4" t="s">
        <v>30</v>
      </c>
      <c r="B14" s="4" t="s">
        <v>26</v>
      </c>
      <c r="C14" s="6" t="n">
        <v>508390</v>
      </c>
    </row>
    <row r="15" customFormat="false" ht="15" hidden="false" customHeight="false" outlineLevel="0" collapsed="false">
      <c r="A15" s="4" t="s">
        <v>30</v>
      </c>
      <c r="B15" s="4" t="s">
        <v>27</v>
      </c>
      <c r="C15" s="6" t="n">
        <v>384968</v>
      </c>
    </row>
    <row r="16" customFormat="false" ht="15" hidden="false" customHeight="false" outlineLevel="0" collapsed="false">
      <c r="A16" s="4" t="s">
        <v>30</v>
      </c>
      <c r="B16" s="4" t="s">
        <v>28</v>
      </c>
      <c r="C16" s="6" t="n">
        <v>34250</v>
      </c>
    </row>
    <row r="17" customFormat="false" ht="15" hidden="false" customHeight="false" outlineLevel="0" collapsed="false">
      <c r="A17" s="4" t="s">
        <v>31</v>
      </c>
      <c r="B17" s="4" t="s">
        <v>24</v>
      </c>
      <c r="C17" s="6" t="n">
        <v>595958</v>
      </c>
    </row>
    <row r="18" customFormat="false" ht="15" hidden="false" customHeight="false" outlineLevel="0" collapsed="false">
      <c r="A18" s="4" t="s">
        <v>31</v>
      </c>
      <c r="B18" s="4" t="s">
        <v>25</v>
      </c>
      <c r="C18" s="6" t="n">
        <v>468515</v>
      </c>
    </row>
    <row r="19" customFormat="false" ht="15" hidden="false" customHeight="false" outlineLevel="0" collapsed="false">
      <c r="A19" s="4" t="s">
        <v>31</v>
      </c>
      <c r="B19" s="4" t="s">
        <v>26</v>
      </c>
      <c r="C19" s="6" t="n">
        <v>79211</v>
      </c>
    </row>
    <row r="20" customFormat="false" ht="15" hidden="false" customHeight="false" outlineLevel="0" collapsed="false">
      <c r="A20" s="4" t="s">
        <v>31</v>
      </c>
      <c r="B20" s="4" t="s">
        <v>27</v>
      </c>
      <c r="C20" s="6" t="n">
        <v>1590813</v>
      </c>
    </row>
    <row r="21" customFormat="false" ht="15" hidden="false" customHeight="false" outlineLevel="0" collapsed="false">
      <c r="A21" s="4" t="s">
        <v>31</v>
      </c>
      <c r="B21" s="4" t="s">
        <v>28</v>
      </c>
      <c r="C21" s="6" t="n">
        <v>633771</v>
      </c>
    </row>
    <row r="22" customFormat="false" ht="15" hidden="false" customHeight="false" outlineLevel="0" collapsed="false">
      <c r="A22" s="4" t="s">
        <v>32</v>
      </c>
      <c r="B22" s="4" t="s">
        <v>24</v>
      </c>
      <c r="C22" s="6" t="n">
        <v>1037627</v>
      </c>
    </row>
    <row r="23" customFormat="false" ht="15" hidden="false" customHeight="false" outlineLevel="0" collapsed="false">
      <c r="A23" s="4" t="s">
        <v>32</v>
      </c>
      <c r="B23" s="4" t="s">
        <v>25</v>
      </c>
      <c r="C23" s="6" t="n">
        <v>84388</v>
      </c>
    </row>
    <row r="24" customFormat="false" ht="15" hidden="false" customHeight="false" outlineLevel="0" collapsed="false">
      <c r="A24" s="4" t="s">
        <v>32</v>
      </c>
      <c r="B24" s="4" t="s">
        <v>26</v>
      </c>
      <c r="C24" s="6" t="n">
        <v>199900</v>
      </c>
    </row>
    <row r="25" customFormat="false" ht="15" hidden="false" customHeight="false" outlineLevel="0" collapsed="false">
      <c r="A25" s="4" t="s">
        <v>32</v>
      </c>
      <c r="B25" s="4" t="s">
        <v>27</v>
      </c>
      <c r="C25" s="6" t="n">
        <v>12027</v>
      </c>
    </row>
    <row r="26" customFormat="false" ht="15" hidden="false" customHeight="false" outlineLevel="0" collapsed="false">
      <c r="A26" s="4" t="s">
        <v>32</v>
      </c>
      <c r="B26" s="4" t="s">
        <v>28</v>
      </c>
      <c r="C26" s="6" t="n">
        <v>890</v>
      </c>
    </row>
    <row r="27" customFormat="false" ht="15" hidden="false" customHeight="false" outlineLevel="0" collapsed="false">
      <c r="A27" s="4" t="s">
        <v>33</v>
      </c>
      <c r="B27" s="4" t="s">
        <v>24</v>
      </c>
      <c r="C27" s="6" t="n">
        <v>584609</v>
      </c>
    </row>
    <row r="28" customFormat="false" ht="15" hidden="false" customHeight="false" outlineLevel="0" collapsed="false">
      <c r="A28" s="4" t="s">
        <v>33</v>
      </c>
      <c r="B28" s="4" t="s">
        <v>25</v>
      </c>
      <c r="C28" s="6" t="n">
        <v>137408</v>
      </c>
    </row>
    <row r="29" customFormat="false" ht="15" hidden="false" customHeight="false" outlineLevel="0" collapsed="false">
      <c r="A29" s="4" t="s">
        <v>33</v>
      </c>
      <c r="B29" s="4" t="s">
        <v>26</v>
      </c>
      <c r="C29" s="6" t="n">
        <v>158511</v>
      </c>
    </row>
    <row r="30" customFormat="false" ht="15" hidden="false" customHeight="false" outlineLevel="0" collapsed="false">
      <c r="A30" s="4" t="s">
        <v>33</v>
      </c>
      <c r="B30" s="4" t="s">
        <v>27</v>
      </c>
      <c r="C30" s="6" t="n">
        <v>193995</v>
      </c>
    </row>
    <row r="31" customFormat="false" ht="15" hidden="false" customHeight="false" outlineLevel="0" collapsed="false">
      <c r="A31" s="4" t="s">
        <v>33</v>
      </c>
      <c r="B31" s="4" t="s">
        <v>28</v>
      </c>
      <c r="C31" s="6" t="n">
        <v>5352</v>
      </c>
    </row>
    <row r="32" customFormat="false" ht="15" hidden="false" customHeight="false" outlineLevel="0" collapsed="false">
      <c r="A32" s="4" t="s">
        <v>34</v>
      </c>
      <c r="B32" s="4" t="s">
        <v>24</v>
      </c>
      <c r="C32" s="6" t="n">
        <v>510994</v>
      </c>
    </row>
    <row r="33" customFormat="false" ht="15" hidden="false" customHeight="false" outlineLevel="0" collapsed="false">
      <c r="A33" s="4" t="s">
        <v>34</v>
      </c>
      <c r="B33" s="4" t="s">
        <v>25</v>
      </c>
      <c r="C33" s="6" t="n">
        <v>117168</v>
      </c>
    </row>
    <row r="34" customFormat="false" ht="15" hidden="false" customHeight="false" outlineLevel="0" collapsed="false">
      <c r="A34" s="4" t="s">
        <v>34</v>
      </c>
      <c r="B34" s="4" t="s">
        <v>26</v>
      </c>
      <c r="C34" s="6" t="n">
        <v>153743</v>
      </c>
    </row>
    <row r="35" customFormat="false" ht="15" hidden="false" customHeight="false" outlineLevel="0" collapsed="false">
      <c r="A35" s="4" t="s">
        <v>34</v>
      </c>
      <c r="B35" s="4" t="s">
        <v>27</v>
      </c>
      <c r="C35" s="6" t="n">
        <v>18198</v>
      </c>
    </row>
    <row r="36" customFormat="false" ht="15" hidden="false" customHeight="false" outlineLevel="0" collapsed="false">
      <c r="A36" s="4" t="s">
        <v>34</v>
      </c>
      <c r="B36" s="4" t="s">
        <v>28</v>
      </c>
      <c r="C36" s="6" t="n">
        <v>1335</v>
      </c>
    </row>
    <row r="37" customFormat="false" ht="15" hidden="false" customHeight="false" outlineLevel="0" collapsed="false">
      <c r="A37" s="4" t="s">
        <v>35</v>
      </c>
      <c r="B37" s="4" t="s">
        <v>24</v>
      </c>
      <c r="C37" s="6" t="n">
        <v>195267</v>
      </c>
    </row>
    <row r="38" customFormat="false" ht="15" hidden="false" customHeight="false" outlineLevel="0" collapsed="false">
      <c r="A38" s="4" t="s">
        <v>35</v>
      </c>
      <c r="B38" s="4" t="s">
        <v>25</v>
      </c>
      <c r="C38" s="6" t="n">
        <v>83848</v>
      </c>
    </row>
    <row r="39" customFormat="false" ht="15" hidden="false" customHeight="false" outlineLevel="0" collapsed="false">
      <c r="A39" s="4" t="s">
        <v>35</v>
      </c>
      <c r="B39" s="4" t="s">
        <v>26</v>
      </c>
      <c r="C39" s="6" t="n">
        <v>52433</v>
      </c>
    </row>
    <row r="40" customFormat="false" ht="15" hidden="false" customHeight="false" outlineLevel="0" collapsed="false">
      <c r="A40" s="4" t="s">
        <v>35</v>
      </c>
      <c r="B40" s="4" t="s">
        <v>27</v>
      </c>
      <c r="C40" s="6" t="n">
        <v>3111</v>
      </c>
    </row>
    <row r="41" customFormat="false" ht="15" hidden="false" customHeight="false" outlineLevel="0" collapsed="false">
      <c r="A41" s="4" t="s">
        <v>35</v>
      </c>
      <c r="B41" s="4" t="s">
        <v>28</v>
      </c>
      <c r="C41" s="6" t="n">
        <v>303</v>
      </c>
    </row>
    <row r="42" customFormat="false" ht="15" hidden="false" customHeight="false" outlineLevel="0" collapsed="false">
      <c r="A42" s="4" t="s">
        <v>36</v>
      </c>
      <c r="B42" s="4" t="s">
        <v>24</v>
      </c>
      <c r="C42" s="6" t="n">
        <v>384853</v>
      </c>
    </row>
    <row r="43" customFormat="false" ht="15" hidden="false" customHeight="false" outlineLevel="0" collapsed="false">
      <c r="A43" s="4" t="s">
        <v>36</v>
      </c>
      <c r="B43" s="4" t="s">
        <v>25</v>
      </c>
      <c r="C43" s="6" t="n">
        <v>1088423</v>
      </c>
    </row>
    <row r="44" customFormat="false" ht="15" hidden="false" customHeight="false" outlineLevel="0" collapsed="false">
      <c r="A44" s="4" t="s">
        <v>36</v>
      </c>
      <c r="B44" s="4" t="s">
        <v>26</v>
      </c>
      <c r="C44" s="6" t="n">
        <v>104354</v>
      </c>
    </row>
    <row r="45" customFormat="false" ht="15" hidden="false" customHeight="false" outlineLevel="0" collapsed="false">
      <c r="A45" s="4" t="s">
        <v>36</v>
      </c>
      <c r="B45" s="4" t="s">
        <v>27</v>
      </c>
      <c r="C45" s="6" t="n">
        <v>11263</v>
      </c>
    </row>
    <row r="46" customFormat="false" ht="15" hidden="false" customHeight="false" outlineLevel="0" collapsed="false">
      <c r="A46" s="4" t="s">
        <v>36</v>
      </c>
      <c r="B46" s="4" t="s">
        <v>28</v>
      </c>
      <c r="C46" s="6" t="n">
        <v>824</v>
      </c>
    </row>
    <row r="48" customFormat="false" ht="15" hidden="false" customHeight="false" outlineLevel="0" collapsed="false">
      <c r="A48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5" t="s">
        <v>38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39</v>
      </c>
    </row>
    <row r="2" customFormat="false" ht="15" hidden="false" customHeight="false" outlineLevel="0" collapsed="false">
      <c r="A2" s="3" t="s">
        <v>23</v>
      </c>
      <c r="B2" s="7" t="n">
        <f aca="false">SUMIFS(Data!$C$2:$C$46,Data!$A$2:$A$46,$A2,Data!$B$2:$B$46,B$1)</f>
        <v>1114294</v>
      </c>
      <c r="C2" s="7" t="n">
        <f aca="false">SUMIFS(Data!$C$2:$C$46,Data!$A$2:$A$46,$A2,Data!$B$2:$B$46,C$1)</f>
        <v>267007</v>
      </c>
      <c r="D2" s="7" t="n">
        <f aca="false">SUMIFS(Data!$C$2:$C$46,Data!$A$2:$A$46,$A2,Data!$B$2:$B$46,D$1)</f>
        <v>181855</v>
      </c>
      <c r="E2" s="7" t="n">
        <f aca="false">SUMIFS(Data!$C$2:$C$46,Data!$A$2:$A$46,$A2,Data!$B$2:$B$46,E$1)</f>
        <v>25904</v>
      </c>
      <c r="F2" s="7" t="n">
        <f aca="false">SUMIFS(Data!$C$2:$C$46,Data!$A$2:$A$46,$A2,Data!$B$2:$B$46,F$1)</f>
        <v>1343</v>
      </c>
      <c r="G2" s="8" t="n">
        <f aca="false">SUM(B2:F2)</f>
        <v>1590403</v>
      </c>
    </row>
    <row r="3" customFormat="false" ht="15" hidden="false" customHeight="false" outlineLevel="0" collapsed="false">
      <c r="A3" s="3" t="s">
        <v>29</v>
      </c>
      <c r="B3" s="7" t="n">
        <f aca="false">SUMIFS(Data!$C$2:$C$46,Data!$A$2:$A$46,$A3,Data!$B$2:$B$46,B$1)</f>
        <v>429241</v>
      </c>
      <c r="C3" s="7" t="n">
        <f aca="false">SUMIFS(Data!$C$2:$C$46,Data!$A$2:$A$46,$A3,Data!$B$2:$B$46,C$1)</f>
        <v>181062</v>
      </c>
      <c r="D3" s="7" t="n">
        <f aca="false">SUMIFS(Data!$C$2:$C$46,Data!$A$2:$A$46,$A3,Data!$B$2:$B$46,D$1)</f>
        <v>111850</v>
      </c>
      <c r="E3" s="7" t="n">
        <f aca="false">SUMIFS(Data!$C$2:$C$46,Data!$A$2:$A$46,$A3,Data!$B$2:$B$46,E$1)</f>
        <v>15985</v>
      </c>
      <c r="F3" s="7" t="n">
        <f aca="false">SUMIFS(Data!$C$2:$C$46,Data!$A$2:$A$46,$A3,Data!$B$2:$B$46,F$1)</f>
        <v>1537</v>
      </c>
      <c r="G3" s="8" t="n">
        <f aca="false">SUM(B3:F3)</f>
        <v>739675</v>
      </c>
    </row>
    <row r="4" customFormat="false" ht="15" hidden="false" customHeight="false" outlineLevel="0" collapsed="false">
      <c r="A4" s="3" t="s">
        <v>30</v>
      </c>
      <c r="B4" s="7" t="n">
        <f aca="false">SUMIFS(Data!$C$2:$C$46,Data!$A$2:$A$46,$A4,Data!$B$2:$B$46,B$1)</f>
        <v>1367248</v>
      </c>
      <c r="C4" s="7" t="n">
        <f aca="false">SUMIFS(Data!$C$2:$C$46,Data!$A$2:$A$46,$A4,Data!$B$2:$B$46,C$1)</f>
        <v>1079229</v>
      </c>
      <c r="D4" s="7" t="n">
        <f aca="false">SUMIFS(Data!$C$2:$C$46,Data!$A$2:$A$46,$A4,Data!$B$2:$B$46,D$1)</f>
        <v>508390</v>
      </c>
      <c r="E4" s="7" t="n">
        <f aca="false">SUMIFS(Data!$C$2:$C$46,Data!$A$2:$A$46,$A4,Data!$B$2:$B$46,E$1)</f>
        <v>384968</v>
      </c>
      <c r="F4" s="7" t="n">
        <f aca="false">SUMIFS(Data!$C$2:$C$46,Data!$A$2:$A$46,$A4,Data!$B$2:$B$46,F$1)</f>
        <v>34250</v>
      </c>
      <c r="G4" s="8" t="n">
        <f aca="false">SUM(B4:F4)</f>
        <v>3374085</v>
      </c>
    </row>
    <row r="5" customFormat="false" ht="15" hidden="false" customHeight="false" outlineLevel="0" collapsed="false">
      <c r="A5" s="3" t="s">
        <v>31</v>
      </c>
      <c r="B5" s="7" t="n">
        <f aca="false">SUMIFS(Data!$C$2:$C$46,Data!$A$2:$A$46,$A5,Data!$B$2:$B$46,B$1)</f>
        <v>595958</v>
      </c>
      <c r="C5" s="7" t="n">
        <f aca="false">SUMIFS(Data!$C$2:$C$46,Data!$A$2:$A$46,$A5,Data!$B$2:$B$46,C$1)</f>
        <v>468515</v>
      </c>
      <c r="D5" s="7" t="n">
        <f aca="false">SUMIFS(Data!$C$2:$C$46,Data!$A$2:$A$46,$A5,Data!$B$2:$B$46,D$1)</f>
        <v>79211</v>
      </c>
      <c r="E5" s="7" t="n">
        <f aca="false">SUMIFS(Data!$C$2:$C$46,Data!$A$2:$A$46,$A5,Data!$B$2:$B$46,E$1)</f>
        <v>1590813</v>
      </c>
      <c r="F5" s="7" t="n">
        <f aca="false">SUMIFS(Data!$C$2:$C$46,Data!$A$2:$A$46,$A5,Data!$B$2:$B$46,F$1)</f>
        <v>633771</v>
      </c>
      <c r="G5" s="8" t="n">
        <f aca="false">SUM(B5:F5)</f>
        <v>3368268</v>
      </c>
    </row>
    <row r="6" customFormat="false" ht="15" hidden="false" customHeight="false" outlineLevel="0" collapsed="false">
      <c r="A6" s="3" t="s">
        <v>32</v>
      </c>
      <c r="B6" s="7" t="n">
        <f aca="false">SUMIFS(Data!$C$2:$C$46,Data!$A$2:$A$46,$A6,Data!$B$2:$B$46,B$1)</f>
        <v>1037627</v>
      </c>
      <c r="C6" s="7" t="n">
        <f aca="false">SUMIFS(Data!$C$2:$C$46,Data!$A$2:$A$46,$A6,Data!$B$2:$B$46,C$1)</f>
        <v>84388</v>
      </c>
      <c r="D6" s="7" t="n">
        <f aca="false">SUMIFS(Data!$C$2:$C$46,Data!$A$2:$A$46,$A6,Data!$B$2:$B$46,D$1)</f>
        <v>199900</v>
      </c>
      <c r="E6" s="7" t="n">
        <f aca="false">SUMIFS(Data!$C$2:$C$46,Data!$A$2:$A$46,$A6,Data!$B$2:$B$46,E$1)</f>
        <v>12027</v>
      </c>
      <c r="F6" s="7" t="n">
        <f aca="false">SUMIFS(Data!$C$2:$C$46,Data!$A$2:$A$46,$A6,Data!$B$2:$B$46,F$1)</f>
        <v>890</v>
      </c>
      <c r="G6" s="8" t="n">
        <f aca="false">SUM(B6:F6)</f>
        <v>1334832</v>
      </c>
    </row>
    <row r="7" customFormat="false" ht="15" hidden="false" customHeight="false" outlineLevel="0" collapsed="false">
      <c r="A7" s="3" t="s">
        <v>33</v>
      </c>
      <c r="B7" s="7" t="n">
        <f aca="false">SUMIFS(Data!$C$2:$C$46,Data!$A$2:$A$46,$A7,Data!$B$2:$B$46,B$1)</f>
        <v>584609</v>
      </c>
      <c r="C7" s="7" t="n">
        <f aca="false">SUMIFS(Data!$C$2:$C$46,Data!$A$2:$A$46,$A7,Data!$B$2:$B$46,C$1)</f>
        <v>137408</v>
      </c>
      <c r="D7" s="7" t="n">
        <f aca="false">SUMIFS(Data!$C$2:$C$46,Data!$A$2:$A$46,$A7,Data!$B$2:$B$46,D$1)</f>
        <v>158511</v>
      </c>
      <c r="E7" s="7" t="n">
        <f aca="false">SUMIFS(Data!$C$2:$C$46,Data!$A$2:$A$46,$A7,Data!$B$2:$B$46,E$1)</f>
        <v>193995</v>
      </c>
      <c r="F7" s="7" t="n">
        <f aca="false">SUMIFS(Data!$C$2:$C$46,Data!$A$2:$A$46,$A7,Data!$B$2:$B$46,F$1)</f>
        <v>5352</v>
      </c>
      <c r="G7" s="8" t="n">
        <f aca="false">SUM(B7:F7)</f>
        <v>1079875</v>
      </c>
    </row>
    <row r="8" customFormat="false" ht="15" hidden="false" customHeight="false" outlineLevel="0" collapsed="false">
      <c r="A8" s="3" t="s">
        <v>34</v>
      </c>
      <c r="B8" s="7" t="n">
        <f aca="false">SUMIFS(Data!$C$2:$C$46,Data!$A$2:$A$46,$A8,Data!$B$2:$B$46,B$1)</f>
        <v>510994</v>
      </c>
      <c r="C8" s="7" t="n">
        <f aca="false">SUMIFS(Data!$C$2:$C$46,Data!$A$2:$A$46,$A8,Data!$B$2:$B$46,C$1)</f>
        <v>117168</v>
      </c>
      <c r="D8" s="7" t="n">
        <f aca="false">SUMIFS(Data!$C$2:$C$46,Data!$A$2:$A$46,$A8,Data!$B$2:$B$46,D$1)</f>
        <v>153743</v>
      </c>
      <c r="E8" s="7" t="n">
        <f aca="false">SUMIFS(Data!$C$2:$C$46,Data!$A$2:$A$46,$A8,Data!$B$2:$B$46,E$1)</f>
        <v>18198</v>
      </c>
      <c r="F8" s="7" t="n">
        <f aca="false">SUMIFS(Data!$C$2:$C$46,Data!$A$2:$A$46,$A8,Data!$B$2:$B$46,F$1)</f>
        <v>1335</v>
      </c>
      <c r="G8" s="8" t="n">
        <f aca="false">SUM(B8:F8)</f>
        <v>801438</v>
      </c>
    </row>
    <row r="9" customFormat="false" ht="15" hidden="false" customHeight="false" outlineLevel="0" collapsed="false">
      <c r="A9" s="3" t="s">
        <v>35</v>
      </c>
      <c r="B9" s="7" t="n">
        <f aca="false">SUMIFS(Data!$C$2:$C$46,Data!$A$2:$A$46,$A9,Data!$B$2:$B$46,B$1)</f>
        <v>195267</v>
      </c>
      <c r="C9" s="7" t="n">
        <f aca="false">SUMIFS(Data!$C$2:$C$46,Data!$A$2:$A$46,$A9,Data!$B$2:$B$46,C$1)</f>
        <v>83848</v>
      </c>
      <c r="D9" s="7" t="n">
        <f aca="false">SUMIFS(Data!$C$2:$C$46,Data!$A$2:$A$46,$A9,Data!$B$2:$B$46,D$1)</f>
        <v>52433</v>
      </c>
      <c r="E9" s="7" t="n">
        <f aca="false">SUMIFS(Data!$C$2:$C$46,Data!$A$2:$A$46,$A9,Data!$B$2:$B$46,E$1)</f>
        <v>3111</v>
      </c>
      <c r="F9" s="7" t="n">
        <f aca="false">SUMIFS(Data!$C$2:$C$46,Data!$A$2:$A$46,$A9,Data!$B$2:$B$46,F$1)</f>
        <v>303</v>
      </c>
      <c r="G9" s="8" t="n">
        <f aca="false">SUM(B9:F9)</f>
        <v>334962</v>
      </c>
    </row>
    <row r="10" customFormat="false" ht="15" hidden="false" customHeight="false" outlineLevel="0" collapsed="false">
      <c r="A10" s="3" t="s">
        <v>36</v>
      </c>
      <c r="B10" s="7" t="n">
        <f aca="false">SUMIFS(Data!$C$2:$C$46,Data!$A$2:$A$46,$A10,Data!$B$2:$B$46,B$1)</f>
        <v>384853</v>
      </c>
      <c r="C10" s="7" t="n">
        <f aca="false">SUMIFS(Data!$C$2:$C$46,Data!$A$2:$A$46,$A10,Data!$B$2:$B$46,C$1)</f>
        <v>1088423</v>
      </c>
      <c r="D10" s="7" t="n">
        <f aca="false">SUMIFS(Data!$C$2:$C$46,Data!$A$2:$A$46,$A10,Data!$B$2:$B$46,D$1)</f>
        <v>104354</v>
      </c>
      <c r="E10" s="7" t="n">
        <f aca="false">SUMIFS(Data!$C$2:$C$46,Data!$A$2:$A$46,$A10,Data!$B$2:$B$46,E$1)</f>
        <v>11263</v>
      </c>
      <c r="F10" s="7" t="n">
        <f aca="false">SUMIFS(Data!$C$2:$C$46,Data!$A$2:$A$46,$A10,Data!$B$2:$B$46,F$1)</f>
        <v>824</v>
      </c>
      <c r="G10" s="8" t="n">
        <f aca="false">SUM(B10:F10)</f>
        <v>1589717</v>
      </c>
    </row>
    <row r="11" customFormat="false" ht="15" hidden="false" customHeight="false" outlineLevel="0" collapsed="false">
      <c r="A11" s="9" t="s">
        <v>40</v>
      </c>
      <c r="B11" s="8" t="n">
        <f aca="false">SUM(B2:B10)</f>
        <v>6220091</v>
      </c>
      <c r="C11" s="8" t="n">
        <f aca="false">SUM(C2:C10)</f>
        <v>3507048</v>
      </c>
      <c r="D11" s="8" t="n">
        <f aca="false">SUM(D2:D10)</f>
        <v>1550247</v>
      </c>
      <c r="E11" s="8" t="n">
        <f aca="false">SUM(E2:E10)</f>
        <v>2256264</v>
      </c>
      <c r="F11" s="8" t="n">
        <f aca="false">SUM(F2:F10)</f>
        <v>679605</v>
      </c>
      <c r="G11" s="8" t="n">
        <f aca="false">SUM(G2:G10)</f>
        <v>14213255</v>
      </c>
    </row>
    <row r="13" customFormat="false" ht="15" hidden="false" customHeight="false" outlineLevel="0" collapsed="false">
      <c r="A13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8" min="3" style="0" width="12"/>
  </cols>
  <sheetData>
    <row r="2" customFormat="false" ht="17.35" hidden="false" customHeight="false" outlineLevel="0" collapsed="false">
      <c r="B2" s="1" t="s">
        <v>42</v>
      </c>
    </row>
    <row r="3" customFormat="false" ht="15" hidden="false" customHeight="false" outlineLevel="0" collapsed="false">
      <c r="B3" s="2" t="s">
        <v>43</v>
      </c>
    </row>
    <row r="5" customFormat="false" ht="15" hidden="false" customHeight="false" outlineLevel="0" collapsed="false">
      <c r="B5" s="3" t="s">
        <v>44</v>
      </c>
    </row>
    <row r="6" customFormat="false" ht="52.2" hidden="false" customHeight="false" outlineLevel="0" collapsed="false">
      <c r="B6" s="5" t="s">
        <v>45</v>
      </c>
      <c r="C6" s="5" t="s">
        <v>46</v>
      </c>
      <c r="D6" s="5" t="s">
        <v>47</v>
      </c>
    </row>
    <row r="7" customFormat="false" ht="15" hidden="false" customHeight="false" outlineLevel="0" collapsed="false">
      <c r="B7" s="4" t="s">
        <v>24</v>
      </c>
      <c r="C7" s="10" t="n">
        <f aca="false">'Cross-Tab'!B11</f>
        <v>6220091</v>
      </c>
      <c r="D7" s="11" t="n">
        <f aca="false">C7/$C$13</f>
        <v>0.437626075096802</v>
      </c>
    </row>
    <row r="8" customFormat="false" ht="15" hidden="false" customHeight="false" outlineLevel="0" collapsed="false">
      <c r="B8" s="4" t="s">
        <v>25</v>
      </c>
      <c r="C8" s="10" t="n">
        <f aca="false">'Cross-Tab'!C11</f>
        <v>3507048</v>
      </c>
      <c r="D8" s="11" t="n">
        <f aca="false">C8/$C$13</f>
        <v>0.246744887078998</v>
      </c>
    </row>
    <row r="9" customFormat="false" ht="15" hidden="false" customHeight="false" outlineLevel="0" collapsed="false">
      <c r="B9" s="4" t="s">
        <v>26</v>
      </c>
      <c r="C9" s="10" t="n">
        <f aca="false">'Cross-Tab'!D11</f>
        <v>1550247</v>
      </c>
      <c r="D9" s="11" t="n">
        <f aca="false">C9/$C$13</f>
        <v>0.109070511997428</v>
      </c>
    </row>
    <row r="10" customFormat="false" ht="15" hidden="false" customHeight="false" outlineLevel="0" collapsed="false">
      <c r="B10" s="4" t="s">
        <v>27</v>
      </c>
      <c r="C10" s="10" t="n">
        <f aca="false">'Cross-Tab'!E11</f>
        <v>2256264</v>
      </c>
      <c r="D10" s="11" t="n">
        <f aca="false">C10/$C$13</f>
        <v>0.158743651612527</v>
      </c>
    </row>
    <row r="11" customFormat="false" ht="15" hidden="false" customHeight="false" outlineLevel="0" collapsed="false">
      <c r="B11" s="4" t="s">
        <v>28</v>
      </c>
      <c r="C11" s="10" t="n">
        <f aca="false">'Cross-Tab'!F11</f>
        <v>679605</v>
      </c>
      <c r="D11" s="11" t="n">
        <f aca="false">C11/$C$13</f>
        <v>0.0478148742142458</v>
      </c>
    </row>
    <row r="13" customFormat="false" ht="15" hidden="false" customHeight="false" outlineLevel="0" collapsed="false">
      <c r="B13" s="3" t="s">
        <v>48</v>
      </c>
      <c r="C13" s="12" t="n">
        <f aca="false">SUM(C7:C11)</f>
        <v>14213255</v>
      </c>
      <c r="D13" s="13" t="n">
        <f aca="false">SUM(D7:D11)</f>
        <v>1</v>
      </c>
    </row>
    <row r="15" customFormat="false" ht="15" hidden="false" customHeight="false" outlineLevel="0" collapsed="false">
      <c r="B15" s="2" t="s">
        <v>49</v>
      </c>
    </row>
    <row r="16" customFormat="false" ht="15" hidden="false" customHeight="false" outlineLevel="0" collapsed="false">
      <c r="B16" s="2" t="s">
        <v>50</v>
      </c>
    </row>
    <row r="18" customFormat="false" ht="15" hidden="false" customHeight="false" outlineLevel="0" collapsed="false">
      <c r="B18" s="3" t="s">
        <v>51</v>
      </c>
    </row>
    <row r="19" customFormat="false" ht="52.2" hidden="false" customHeight="false" outlineLevel="0" collapsed="false">
      <c r="B19" s="5" t="s">
        <v>38</v>
      </c>
      <c r="C19" s="5" t="s">
        <v>46</v>
      </c>
      <c r="D19" s="5" t="s">
        <v>52</v>
      </c>
    </row>
    <row r="20" customFormat="false" ht="15" hidden="false" customHeight="false" outlineLevel="0" collapsed="false">
      <c r="B20" s="4" t="s">
        <v>23</v>
      </c>
      <c r="C20" s="10" t="n">
        <f aca="false">'Cross-Tab'!G2</f>
        <v>1590403</v>
      </c>
      <c r="D20" s="11" t="n">
        <f aca="false">C20/$C$30</f>
        <v>0.111895762089683</v>
      </c>
    </row>
    <row r="21" customFormat="false" ht="15" hidden="false" customHeight="false" outlineLevel="0" collapsed="false">
      <c r="B21" s="4" t="s">
        <v>29</v>
      </c>
      <c r="C21" s="10" t="n">
        <f aca="false">'Cross-Tab'!G3</f>
        <v>739675</v>
      </c>
      <c r="D21" s="11" t="n">
        <f aca="false">C21/$C$30</f>
        <v>0.0520412108274987</v>
      </c>
    </row>
    <row r="22" customFormat="false" ht="15" hidden="false" customHeight="false" outlineLevel="0" collapsed="false">
      <c r="B22" s="4" t="s">
        <v>30</v>
      </c>
      <c r="C22" s="10" t="n">
        <f aca="false">'Cross-Tab'!G4</f>
        <v>3374085</v>
      </c>
      <c r="D22" s="11" t="n">
        <f aca="false">C22/$C$30</f>
        <v>0.237390027829656</v>
      </c>
    </row>
    <row r="23" customFormat="false" ht="15" hidden="false" customHeight="false" outlineLevel="0" collapsed="false">
      <c r="B23" s="4" t="s">
        <v>31</v>
      </c>
      <c r="C23" s="10" t="n">
        <f aca="false">'Cross-Tab'!G5</f>
        <v>3368268</v>
      </c>
      <c r="D23" s="11" t="n">
        <f aca="false">C23/$C$30</f>
        <v>0.236980761971835</v>
      </c>
    </row>
    <row r="24" customFormat="false" ht="15" hidden="false" customHeight="false" outlineLevel="0" collapsed="false">
      <c r="B24" s="4" t="s">
        <v>32</v>
      </c>
      <c r="C24" s="10" t="n">
        <f aca="false">'Cross-Tab'!G6</f>
        <v>1334832</v>
      </c>
      <c r="D24" s="11" t="n">
        <f aca="false">C24/$C$30</f>
        <v>0.0939145888819978</v>
      </c>
    </row>
    <row r="25" customFormat="false" ht="15" hidden="false" customHeight="false" outlineLevel="0" collapsed="false">
      <c r="B25" s="4" t="s">
        <v>33</v>
      </c>
      <c r="C25" s="10" t="n">
        <f aca="false">'Cross-Tab'!G7</f>
        <v>1079875</v>
      </c>
      <c r="D25" s="11" t="n">
        <f aca="false">C25/$C$30</f>
        <v>0.0759766147866903</v>
      </c>
    </row>
    <row r="26" customFormat="false" ht="15" hidden="false" customHeight="false" outlineLevel="0" collapsed="false">
      <c r="B26" s="4" t="s">
        <v>34</v>
      </c>
      <c r="C26" s="10" t="n">
        <f aca="false">'Cross-Tab'!G8</f>
        <v>801438</v>
      </c>
      <c r="D26" s="11" t="n">
        <f aca="false">C26/$C$30</f>
        <v>0.0563866616056632</v>
      </c>
    </row>
    <row r="27" customFormat="false" ht="15" hidden="false" customHeight="false" outlineLevel="0" collapsed="false">
      <c r="B27" s="4" t="s">
        <v>35</v>
      </c>
      <c r="C27" s="10" t="n">
        <f aca="false">'Cross-Tab'!G9</f>
        <v>334962</v>
      </c>
      <c r="D27" s="11" t="n">
        <f aca="false">C27/$C$30</f>
        <v>0.0235668747236295</v>
      </c>
    </row>
    <row r="28" customFormat="false" ht="15" hidden="false" customHeight="false" outlineLevel="0" collapsed="false">
      <c r="B28" s="4" t="s">
        <v>36</v>
      </c>
      <c r="C28" s="10" t="n">
        <f aca="false">'Cross-Tab'!G10</f>
        <v>1589717</v>
      </c>
      <c r="D28" s="11" t="n">
        <f aca="false">C28/$C$30</f>
        <v>0.111847497283346</v>
      </c>
    </row>
    <row r="30" customFormat="false" ht="15" hidden="false" customHeight="false" outlineLevel="0" collapsed="false">
      <c r="B30" s="3" t="s">
        <v>48</v>
      </c>
      <c r="C30" s="12" t="n">
        <f aca="false">SUM(C20:C28)</f>
        <v>14213255</v>
      </c>
      <c r="D30" s="13" t="n">
        <f aca="false">SUM(D20:D28)</f>
        <v>1</v>
      </c>
    </row>
    <row r="32" customFormat="false" ht="15" hidden="false" customHeight="false" outlineLevel="0" collapsed="false">
      <c r="B32" s="3" t="s">
        <v>53</v>
      </c>
    </row>
    <row r="33" customFormat="false" ht="15" hidden="false" customHeight="false" outlineLevel="0" collapsed="false">
      <c r="B33" s="5" t="s">
        <v>38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</row>
    <row r="34" customFormat="false" ht="15" hidden="false" customHeight="false" outlineLevel="0" collapsed="false">
      <c r="B34" s="3" t="s">
        <v>23</v>
      </c>
      <c r="C34" s="14" t="n">
        <f aca="false">'Cross-Tab'!B2/'Cross-Tab'!G11</f>
        <v>0.078398227569969</v>
      </c>
      <c r="D34" s="14" t="n">
        <f aca="false">'Cross-Tab'!C2/'Cross-Tab'!G11</f>
        <v>0.0187857742649379</v>
      </c>
      <c r="E34" s="14" t="n">
        <f aca="false">'Cross-Tab'!D2/'Cross-Tab'!G11</f>
        <v>0.0127947468753639</v>
      </c>
      <c r="F34" s="14" t="n">
        <f aca="false">'Cross-Tab'!E2/'Cross-Tab'!G11</f>
        <v>0.00182252411569341</v>
      </c>
      <c r="G34" s="14" t="n">
        <f aca="false">'Cross-Tab'!F2/'Cross-Tab'!G11</f>
        <v>9.44892637189722E-005</v>
      </c>
    </row>
    <row r="35" customFormat="false" ht="15" hidden="false" customHeight="false" outlineLevel="0" collapsed="false">
      <c r="B35" s="3" t="s">
        <v>29</v>
      </c>
      <c r="C35" s="14" t="n">
        <f aca="false">'Cross-Tab'!B3/'Cross-Tab'!G11</f>
        <v>0.0302000491794455</v>
      </c>
      <c r="D35" s="14" t="n">
        <f aca="false">'Cross-Tab'!C3/'Cross-Tab'!G11</f>
        <v>0.0127389538849475</v>
      </c>
      <c r="E35" s="14" t="n">
        <f aca="false">'Cross-Tab'!D3/'Cross-Tab'!G11</f>
        <v>0.00786941485254433</v>
      </c>
      <c r="F35" s="14" t="n">
        <f aca="false">'Cross-Tab'!E3/'Cross-Tab'!G11</f>
        <v>0.00112465441589558</v>
      </c>
      <c r="G35" s="14" t="n">
        <f aca="false">'Cross-Tab'!F3/'Cross-Tab'!G11</f>
        <v>0.000108138494665719</v>
      </c>
    </row>
    <row r="36" customFormat="false" ht="15" hidden="false" customHeight="false" outlineLevel="0" collapsed="false">
      <c r="B36" s="3" t="s">
        <v>30</v>
      </c>
      <c r="C36" s="14" t="n">
        <f aca="false">'Cross-Tab'!B4/'Cross-Tab'!G11</f>
        <v>0.0961952768735944</v>
      </c>
      <c r="D36" s="14" t="n">
        <f aca="false">'Cross-Tab'!C4/'Cross-Tab'!G11</f>
        <v>0.0759311642547749</v>
      </c>
      <c r="E36" s="14" t="n">
        <f aca="false">'Cross-Tab'!D4/'Cross-Tab'!G11</f>
        <v>0.0357687243351365</v>
      </c>
      <c r="F36" s="14" t="n">
        <f aca="false">'Cross-Tab'!E4/'Cross-Tab'!G11</f>
        <v>0.0270851398923048</v>
      </c>
      <c r="G36" s="14" t="n">
        <f aca="false">'Cross-Tab'!F4/'Cross-Tab'!G11</f>
        <v>0.00240972247384572</v>
      </c>
    </row>
    <row r="37" customFormat="false" ht="15" hidden="false" customHeight="false" outlineLevel="0" collapsed="false">
      <c r="B37" s="3" t="s">
        <v>31</v>
      </c>
      <c r="C37" s="14" t="n">
        <f aca="false">'Cross-Tab'!B5/'Cross-Tab'!G11</f>
        <v>0.0419297338997999</v>
      </c>
      <c r="D37" s="14" t="n">
        <f aca="false">'Cross-Tab'!C5/'Cross-Tab'!G11</f>
        <v>0.0329632445206957</v>
      </c>
      <c r="E37" s="14" t="n">
        <f aca="false">'Cross-Tab'!D5/'Cross-Tab'!G11</f>
        <v>0.00557303728104505</v>
      </c>
      <c r="F37" s="14" t="n">
        <f aca="false">'Cross-Tab'!E5/'Cross-Tab'!G11</f>
        <v>0.111924608402509</v>
      </c>
      <c r="G37" s="14" t="n">
        <f aca="false">'Cross-Tab'!F5/'Cross-Tab'!G11</f>
        <v>0.0445901378677861</v>
      </c>
    </row>
    <row r="38" customFormat="false" ht="15" hidden="false" customHeight="false" outlineLevel="0" collapsed="false">
      <c r="B38" s="3" t="s">
        <v>32</v>
      </c>
      <c r="C38" s="14" t="n">
        <f aca="false">'Cross-Tab'!B6/'Cross-Tab'!G11</f>
        <v>0.0730041781421638</v>
      </c>
      <c r="D38" s="14" t="n">
        <f aca="false">'Cross-Tab'!C6/'Cross-Tab'!G11</f>
        <v>0.00593727474811365</v>
      </c>
      <c r="E38" s="14" t="n">
        <f aca="false">'Cross-Tab'!D6/'Cross-Tab'!G11</f>
        <v>0.014064336423993</v>
      </c>
      <c r="F38" s="14" t="n">
        <f aca="false">'Cross-Tab'!E6/'Cross-Tab'!G11</f>
        <v>0.000846181961837735</v>
      </c>
      <c r="G38" s="14" t="n">
        <f aca="false">'Cross-Tab'!F6/'Cross-Tab'!G11</f>
        <v>6.26176058897135E-005</v>
      </c>
    </row>
    <row r="39" customFormat="false" ht="15" hidden="false" customHeight="false" outlineLevel="0" collapsed="false">
      <c r="B39" s="3" t="s">
        <v>33</v>
      </c>
      <c r="C39" s="14" t="n">
        <f aca="false">'Cross-Tab'!B7/'Cross-Tab'!G11</f>
        <v>0.0411312538894152</v>
      </c>
      <c r="D39" s="14" t="n">
        <f aca="false">'Cross-Tab'!C7/'Cross-Tab'!G11</f>
        <v>0.00966759549448736</v>
      </c>
      <c r="E39" s="14" t="n">
        <f aca="false">'Cross-Tab'!D7/'Cross-Tab'!G11</f>
        <v>0.0111523363226791</v>
      </c>
      <c r="F39" s="14" t="n">
        <f aca="false">'Cross-Tab'!E7/'Cross-Tab'!G11</f>
        <v>0.0136488791624438</v>
      </c>
      <c r="G39" s="14" t="n">
        <f aca="false">'Cross-Tab'!F7/'Cross-Tab'!G11</f>
        <v>0.000376549917664884</v>
      </c>
    </row>
    <row r="40" customFormat="false" ht="15" hidden="false" customHeight="false" outlineLevel="0" collapsed="false">
      <c r="B40" s="3" t="s">
        <v>34</v>
      </c>
      <c r="C40" s="14" t="n">
        <f aca="false">'Cross-Tab'!B8/'Cross-Tab'!G11</f>
        <v>0.0359519336000093</v>
      </c>
      <c r="D40" s="14" t="n">
        <f aca="false">'Cross-Tab'!C8/'Cross-Tab'!G11</f>
        <v>0.00824357263695051</v>
      </c>
      <c r="E40" s="14" t="n">
        <f aca="false">'Cross-Tab'!D8/'Cross-Tab'!G11</f>
        <v>0.0108168748115755</v>
      </c>
      <c r="F40" s="14" t="n">
        <f aca="false">'Cross-Tab'!E8/'Cross-Tab'!G11</f>
        <v>0.00128035414829327</v>
      </c>
      <c r="G40" s="14" t="n">
        <f aca="false">'Cross-Tab'!F8/'Cross-Tab'!G11</f>
        <v>9.39264088345703E-005</v>
      </c>
    </row>
    <row r="41" customFormat="false" ht="15" hidden="false" customHeight="false" outlineLevel="0" collapsed="false">
      <c r="B41" s="3" t="s">
        <v>35</v>
      </c>
      <c r="C41" s="14" t="n">
        <f aca="false">'Cross-Tab'!B9/'Cross-Tab'!G11</f>
        <v>0.0137383730890637</v>
      </c>
      <c r="D41" s="14" t="n">
        <f aca="false">'Cross-Tab'!C9/'Cross-Tab'!G11</f>
        <v>0.00589928204341652</v>
      </c>
      <c r="E41" s="14" t="n">
        <f aca="false">'Cross-Tab'!D9/'Cross-Tab'!G11</f>
        <v>0.00368902126923073</v>
      </c>
      <c r="F41" s="14" t="n">
        <f aca="false">'Cross-Tab'!E9/'Cross-Tab'!G11</f>
        <v>0.000218880193171796</v>
      </c>
      <c r="G41" s="14" t="n">
        <f aca="false">'Cross-Tab'!F9/'Cross-Tab'!G11</f>
        <v>2.13181287467227E-005</v>
      </c>
    </row>
    <row r="42" customFormat="false" ht="15" hidden="false" customHeight="false" outlineLevel="0" collapsed="false">
      <c r="B42" s="3" t="s">
        <v>36</v>
      </c>
      <c r="C42" s="14" t="n">
        <f aca="false">'Cross-Tab'!B10/'Cross-Tab'!G11</f>
        <v>0.0270770488533415</v>
      </c>
      <c r="D42" s="14" t="n">
        <f aca="false">'Cross-Tab'!C10/'Cross-Tab'!G11</f>
        <v>0.0765780252306738</v>
      </c>
      <c r="E42" s="14" t="n">
        <f aca="false">'Cross-Tab'!D10/'Cross-Tab'!G11</f>
        <v>0.00734201982585974</v>
      </c>
      <c r="F42" s="14" t="n">
        <f aca="false">'Cross-Tab'!E10/'Cross-Tab'!G11</f>
        <v>0.000792429320377352</v>
      </c>
      <c r="G42" s="14" t="n">
        <f aca="false">'Cross-Tab'!F10/'Cross-Tab'!G11</f>
        <v>5.79740530933977E-005</v>
      </c>
    </row>
    <row r="44" customFormat="false" ht="15" hidden="false" customHeight="false" outlineLevel="0" collapsed="false">
      <c r="B44" s="2" t="s">
        <v>54</v>
      </c>
      <c r="H44" s="13" t="n">
        <f aca="false">SUM(C34:G42)</f>
        <v>1</v>
      </c>
    </row>
    <row r="47" customFormat="false" ht="15" hidden="false" customHeight="false" outlineLevel="0" collapsed="false">
      <c r="B47" s="3" t="s">
        <v>55</v>
      </c>
    </row>
    <row r="48" customFormat="false" ht="15" hidden="false" customHeight="false" outlineLevel="0" collapsed="false">
      <c r="B48" s="5" t="s">
        <v>38</v>
      </c>
      <c r="C48" s="5" t="s">
        <v>24</v>
      </c>
      <c r="D48" s="5" t="s">
        <v>25</v>
      </c>
      <c r="E48" s="5" t="s">
        <v>26</v>
      </c>
      <c r="F48" s="5" t="s">
        <v>27</v>
      </c>
      <c r="G48" s="5" t="s">
        <v>28</v>
      </c>
    </row>
    <row r="49" customFormat="false" ht="15" hidden="false" customHeight="false" outlineLevel="0" collapsed="false">
      <c r="B49" s="3" t="s">
        <v>23</v>
      </c>
      <c r="C49" s="14" t="n">
        <f aca="false">'Cross-Tab'!B2/'Cross-Tab'!G2</f>
        <v>0.700636253830004</v>
      </c>
      <c r="D49" s="14" t="n">
        <f aca="false">'Cross-Tab'!C2/'Cross-Tab'!G2</f>
        <v>0.167886378483944</v>
      </c>
      <c r="E49" s="14" t="n">
        <f aca="false">'Cross-Tab'!D2/'Cross-Tab'!G2</f>
        <v>0.114345231994658</v>
      </c>
      <c r="F49" s="14" t="n">
        <f aca="false">'Cross-Tab'!E2/'Cross-Tab'!G2</f>
        <v>0.0162876956343769</v>
      </c>
      <c r="G49" s="14" t="n">
        <f aca="false">'Cross-Tab'!F2/'Cross-Tab'!G2</f>
        <v>0.000844440057016995</v>
      </c>
    </row>
    <row r="50" customFormat="false" ht="15" hidden="false" customHeight="false" outlineLevel="0" collapsed="false">
      <c r="B50" s="3" t="s">
        <v>29</v>
      </c>
      <c r="C50" s="14" t="n">
        <f aca="false">'Cross-Tab'!B3/'Cross-Tab'!G3</f>
        <v>0.580310271402981</v>
      </c>
      <c r="D50" s="14" t="n">
        <f aca="false">'Cross-Tab'!C3/'Cross-Tab'!G3</f>
        <v>0.244785885693041</v>
      </c>
      <c r="E50" s="14" t="n">
        <f aca="false">'Cross-Tab'!D3/'Cross-Tab'!G3</f>
        <v>0.151215060668537</v>
      </c>
      <c r="F50" s="14" t="n">
        <f aca="false">'Cross-Tab'!E3/'Cross-Tab'!G3</f>
        <v>0.0216108425997904</v>
      </c>
      <c r="G50" s="14" t="n">
        <f aca="false">'Cross-Tab'!F3/'Cross-Tab'!G3</f>
        <v>0.00207793963565079</v>
      </c>
    </row>
    <row r="51" customFormat="false" ht="15" hidden="false" customHeight="false" outlineLevel="0" collapsed="false">
      <c r="B51" s="3" t="s">
        <v>30</v>
      </c>
      <c r="C51" s="14" t="n">
        <f aca="false">'Cross-Tab'!B4/'Cross-Tab'!G4</f>
        <v>0.405220378265515</v>
      </c>
      <c r="D51" s="14" t="n">
        <f aca="false">'Cross-Tab'!C4/'Cross-Tab'!G4</f>
        <v>0.319858272687262</v>
      </c>
      <c r="E51" s="14" t="n">
        <f aca="false">'Cross-Tab'!D4/'Cross-Tab'!G4</f>
        <v>0.15067492372006</v>
      </c>
      <c r="F51" s="14" t="n">
        <f aca="false">'Cross-Tab'!E4/'Cross-Tab'!G4</f>
        <v>0.114095525157191</v>
      </c>
      <c r="G51" s="14" t="n">
        <f aca="false">'Cross-Tab'!F4/'Cross-Tab'!G4</f>
        <v>0.010150900169972</v>
      </c>
    </row>
    <row r="52" customFormat="false" ht="15" hidden="false" customHeight="false" outlineLevel="0" collapsed="false">
      <c r="B52" s="3" t="s">
        <v>31</v>
      </c>
      <c r="C52" s="14" t="n">
        <f aca="false">'Cross-Tab'!B5/'Cross-Tab'!G5</f>
        <v>0.176933070646398</v>
      </c>
      <c r="D52" s="14" t="n">
        <f aca="false">'Cross-Tab'!C5/'Cross-Tab'!G5</f>
        <v>0.139096710831798</v>
      </c>
      <c r="E52" s="14" t="n">
        <f aca="false">'Cross-Tab'!D5/'Cross-Tab'!G5</f>
        <v>0.0235168341711527</v>
      </c>
      <c r="F52" s="14" t="n">
        <f aca="false">'Cross-Tab'!E5/'Cross-Tab'!G5</f>
        <v>0.472294069236771</v>
      </c>
      <c r="G52" s="14" t="n">
        <f aca="false">'Cross-Tab'!F5/'Cross-Tab'!G5</f>
        <v>0.18815931511388</v>
      </c>
    </row>
    <row r="53" customFormat="false" ht="15" hidden="false" customHeight="false" outlineLevel="0" collapsed="false">
      <c r="B53" s="3" t="s">
        <v>32</v>
      </c>
      <c r="C53" s="14" t="n">
        <f aca="false">'Cross-Tab'!B6/'Cross-Tab'!G6</f>
        <v>0.777346512519928</v>
      </c>
      <c r="D53" s="14" t="n">
        <f aca="false">'Cross-Tab'!C6/'Cross-Tab'!G6</f>
        <v>0.0632199407865559</v>
      </c>
      <c r="E53" s="14" t="n">
        <f aca="false">'Cross-Tab'!D6/'Cross-Tab'!G6</f>
        <v>0.149756673498987</v>
      </c>
      <c r="F53" s="14" t="n">
        <f aca="false">'Cross-Tab'!E6/'Cross-Tab'!G6</f>
        <v>0.00901012262217268</v>
      </c>
      <c r="G53" s="14" t="n">
        <f aca="false">'Cross-Tab'!F6/'Cross-Tab'!G6</f>
        <v>0.000666750572356671</v>
      </c>
    </row>
    <row r="54" customFormat="false" ht="15" hidden="false" customHeight="false" outlineLevel="0" collapsed="false">
      <c r="B54" s="3" t="s">
        <v>33</v>
      </c>
      <c r="C54" s="14" t="n">
        <f aca="false">'Cross-Tab'!B7/'Cross-Tab'!G7</f>
        <v>0.541367287880542</v>
      </c>
      <c r="D54" s="14" t="n">
        <f aca="false">'Cross-Tab'!C7/'Cross-Tab'!G7</f>
        <v>0.127244356985762</v>
      </c>
      <c r="E54" s="14" t="n">
        <f aca="false">'Cross-Tab'!D7/'Cross-Tab'!G7</f>
        <v>0.146786433615002</v>
      </c>
      <c r="F54" s="14" t="n">
        <f aca="false">'Cross-Tab'!E7/'Cross-Tab'!G7</f>
        <v>0.179645792337076</v>
      </c>
      <c r="G54" s="14" t="n">
        <f aca="false">'Cross-Tab'!F7/'Cross-Tab'!G7</f>
        <v>0.00495612918161824</v>
      </c>
    </row>
    <row r="55" customFormat="false" ht="15" hidden="false" customHeight="false" outlineLevel="0" collapsed="false">
      <c r="B55" s="3" t="s">
        <v>34</v>
      </c>
      <c r="C55" s="14" t="n">
        <f aca="false">'Cross-Tab'!B8/'Cross-Tab'!G8</f>
        <v>0.63759642043427</v>
      </c>
      <c r="D55" s="14" t="n">
        <f aca="false">'Cross-Tab'!C8/'Cross-Tab'!G8</f>
        <v>0.146197210514101</v>
      </c>
      <c r="E55" s="14" t="n">
        <f aca="false">'Cross-Tab'!D8/'Cross-Tab'!G8</f>
        <v>0.191833928513497</v>
      </c>
      <c r="F55" s="14" t="n">
        <f aca="false">'Cross-Tab'!E8/'Cross-Tab'!G8</f>
        <v>0.0227066847341903</v>
      </c>
      <c r="G55" s="14" t="n">
        <f aca="false">'Cross-Tab'!F8/'Cross-Tab'!G8</f>
        <v>0.00166575580394241</v>
      </c>
    </row>
    <row r="56" customFormat="false" ht="15" hidden="false" customHeight="false" outlineLevel="0" collapsed="false">
      <c r="B56" s="3" t="s">
        <v>35</v>
      </c>
      <c r="C56" s="14" t="n">
        <f aca="false">'Cross-Tab'!B9/'Cross-Tab'!G9</f>
        <v>0.582952693141312</v>
      </c>
      <c r="D56" s="14" t="n">
        <f aca="false">'Cross-Tab'!C9/'Cross-Tab'!G9</f>
        <v>0.250320931926607</v>
      </c>
      <c r="E56" s="14" t="n">
        <f aca="false">'Cross-Tab'!D9/'Cross-Tab'!G9</f>
        <v>0.15653417402571</v>
      </c>
      <c r="F56" s="14" t="n">
        <f aca="false">'Cross-Tab'!E9/'Cross-Tab'!G9</f>
        <v>0.00928762068533147</v>
      </c>
      <c r="G56" s="14" t="n">
        <f aca="false">'Cross-Tab'!F9/'Cross-Tab'!G9</f>
        <v>0.000904580221039999</v>
      </c>
    </row>
    <row r="57" customFormat="false" ht="15" hidden="false" customHeight="false" outlineLevel="0" collapsed="false">
      <c r="B57" s="3" t="s">
        <v>36</v>
      </c>
      <c r="C57" s="14" t="n">
        <f aca="false">'Cross-Tab'!B10/'Cross-Tab'!G10</f>
        <v>0.242089000746674</v>
      </c>
      <c r="D57" s="14" t="n">
        <f aca="false">'Cross-Tab'!C10/'Cross-Tab'!G10</f>
        <v>0.684664628987424</v>
      </c>
      <c r="E57" s="14" t="n">
        <f aca="false">'Cross-Tab'!D10/'Cross-Tab'!G10</f>
        <v>0.065643130192355</v>
      </c>
      <c r="F57" s="14" t="n">
        <f aca="false">'Cross-Tab'!E10/'Cross-Tab'!G10</f>
        <v>0.00708490882339435</v>
      </c>
      <c r="G57" s="14" t="n">
        <f aca="false">'Cross-Tab'!F10/'Cross-Tab'!G10</f>
        <v>0.000518331250153329</v>
      </c>
    </row>
    <row r="59" customFormat="false" ht="15" hidden="false" customHeight="false" outlineLevel="0" collapsed="false">
      <c r="B59" s="2" t="s">
        <v>56</v>
      </c>
    </row>
    <row r="60" customFormat="false" ht="15" hidden="false" customHeight="false" outlineLevel="0" collapsed="false">
      <c r="B60" s="2" t="s">
        <v>57</v>
      </c>
    </row>
    <row r="62" customFormat="false" ht="15" hidden="false" customHeight="false" outlineLevel="0" collapsed="false">
      <c r="B62" s="3" t="s">
        <v>58</v>
      </c>
    </row>
    <row r="63" customFormat="false" ht="15" hidden="false" customHeight="false" outlineLevel="0" collapsed="false">
      <c r="B63" s="5" t="s">
        <v>38</v>
      </c>
      <c r="C63" s="5" t="s">
        <v>24</v>
      </c>
      <c r="D63" s="5" t="s">
        <v>25</v>
      </c>
      <c r="E63" s="5" t="s">
        <v>26</v>
      </c>
      <c r="F63" s="5" t="s">
        <v>27</v>
      </c>
      <c r="G63" s="5" t="s">
        <v>28</v>
      </c>
    </row>
    <row r="64" customFormat="false" ht="15" hidden="false" customHeight="false" outlineLevel="0" collapsed="false">
      <c r="B64" s="3" t="s">
        <v>23</v>
      </c>
      <c r="C64" s="14" t="n">
        <f aca="false">'Cross-Tab'!B2/'Cross-Tab'!B11</f>
        <v>0.179144324415833</v>
      </c>
      <c r="D64" s="14" t="n">
        <f aca="false">'Cross-Tab'!C2/'Cross-Tab'!C11</f>
        <v>0.0761344013540733</v>
      </c>
      <c r="E64" s="14" t="n">
        <f aca="false">'Cross-Tab'!D2/'Cross-Tab'!D11</f>
        <v>0.117307112995542</v>
      </c>
      <c r="F64" s="14" t="n">
        <f aca="false">'Cross-Tab'!E2/'Cross-Tab'!E11</f>
        <v>0.0114809259909301</v>
      </c>
      <c r="G64" s="14" t="n">
        <f aca="false">'Cross-Tab'!F2/'Cross-Tab'!F11</f>
        <v>0.0019761479094474</v>
      </c>
    </row>
    <row r="65" customFormat="false" ht="15" hidden="false" customHeight="false" outlineLevel="0" collapsed="false">
      <c r="B65" s="3" t="s">
        <v>29</v>
      </c>
      <c r="C65" s="14" t="n">
        <f aca="false">'Cross-Tab'!B3/'Cross-Tab'!B11</f>
        <v>0.0690087974597156</v>
      </c>
      <c r="D65" s="14" t="n">
        <f aca="false">'Cross-Tab'!C3/'Cross-Tab'!C11</f>
        <v>0.0516280358865918</v>
      </c>
      <c r="E65" s="14" t="n">
        <f aca="false">'Cross-Tab'!D3/'Cross-Tab'!D11</f>
        <v>0.0721497929039695</v>
      </c>
      <c r="F65" s="14" t="n">
        <f aca="false">'Cross-Tab'!E3/'Cross-Tab'!E11</f>
        <v>0.0070847205823432</v>
      </c>
      <c r="G65" s="14" t="n">
        <f aca="false">'Cross-Tab'!F3/'Cross-Tab'!F11</f>
        <v>0.00226160784573392</v>
      </c>
    </row>
    <row r="66" customFormat="false" ht="15" hidden="false" customHeight="false" outlineLevel="0" collapsed="false">
      <c r="B66" s="3" t="s">
        <v>30</v>
      </c>
      <c r="C66" s="14" t="n">
        <f aca="false">'Cross-Tab'!B4/'Cross-Tab'!B11</f>
        <v>0.219811575103966</v>
      </c>
      <c r="D66" s="14" t="n">
        <f aca="false">'Cross-Tab'!C4/'Cross-Tab'!C11</f>
        <v>0.307731459620741</v>
      </c>
      <c r="E66" s="14" t="n">
        <f aca="false">'Cross-Tab'!D4/'Cross-Tab'!D11</f>
        <v>0.327941289355825</v>
      </c>
      <c r="F66" s="14" t="n">
        <f aca="false">'Cross-Tab'!E4/'Cross-Tab'!E11</f>
        <v>0.170621877581701</v>
      </c>
      <c r="G66" s="14" t="n">
        <f aca="false">'Cross-Tab'!F4/'Cross-Tab'!F11</f>
        <v>0.0503969217413056</v>
      </c>
    </row>
    <row r="67" customFormat="false" ht="15" hidden="false" customHeight="false" outlineLevel="0" collapsed="false">
      <c r="B67" s="3" t="s">
        <v>31</v>
      </c>
      <c r="C67" s="14" t="n">
        <f aca="false">'Cross-Tab'!B5/'Cross-Tab'!B11</f>
        <v>0.0958117815318136</v>
      </c>
      <c r="D67" s="14" t="n">
        <f aca="false">'Cross-Tab'!C5/'Cross-Tab'!C11</f>
        <v>0.133592411623679</v>
      </c>
      <c r="E67" s="14" t="n">
        <f aca="false">'Cross-Tab'!D5/'Cross-Tab'!D11</f>
        <v>0.0510957286161496</v>
      </c>
      <c r="F67" s="14" t="n">
        <f aca="false">'Cross-Tab'!E5/'Cross-Tab'!E11</f>
        <v>0.705065098765038</v>
      </c>
      <c r="G67" s="14" t="n">
        <f aca="false">'Cross-Tab'!F5/'Cross-Tab'!F11</f>
        <v>0.932557882887854</v>
      </c>
    </row>
    <row r="68" customFormat="false" ht="15" hidden="false" customHeight="false" outlineLevel="0" collapsed="false">
      <c r="B68" s="3" t="s">
        <v>32</v>
      </c>
      <c r="C68" s="14" t="n">
        <f aca="false">'Cross-Tab'!B6/'Cross-Tab'!B11</f>
        <v>0.166818620499282</v>
      </c>
      <c r="D68" s="14" t="n">
        <f aca="false">'Cross-Tab'!C6/'Cross-Tab'!C11</f>
        <v>0.0240624023395175</v>
      </c>
      <c r="E68" s="14" t="n">
        <f aca="false">'Cross-Tab'!D6/'Cross-Tab'!D11</f>
        <v>0.128947193576249</v>
      </c>
      <c r="F68" s="14" t="n">
        <f aca="false">'Cross-Tab'!E6/'Cross-Tab'!E11</f>
        <v>0.00533049324015275</v>
      </c>
      <c r="G68" s="14" t="n">
        <f aca="false">'Cross-Tab'!F6/'Cross-Tab'!F11</f>
        <v>0.00130958424378867</v>
      </c>
    </row>
    <row r="69" customFormat="false" ht="15" hidden="false" customHeight="false" outlineLevel="0" collapsed="false">
      <c r="B69" s="3" t="s">
        <v>33</v>
      </c>
      <c r="C69" s="14" t="n">
        <f aca="false">'Cross-Tab'!B7/'Cross-Tab'!B11</f>
        <v>0.093987210154964</v>
      </c>
      <c r="D69" s="14" t="n">
        <f aca="false">'Cross-Tab'!C7/'Cross-Tab'!C11</f>
        <v>0.0391805301780871</v>
      </c>
      <c r="E69" s="14" t="n">
        <f aca="false">'Cross-Tab'!D7/'Cross-Tab'!D11</f>
        <v>0.102248867438544</v>
      </c>
      <c r="F69" s="14" t="n">
        <f aca="false">'Cross-Tab'!E7/'Cross-Tab'!E11</f>
        <v>0.0859806299262852</v>
      </c>
      <c r="G69" s="14" t="n">
        <f aca="false">'Cross-Tab'!F7/'Cross-Tab'!F11</f>
        <v>0.00787516277837862</v>
      </c>
    </row>
    <row r="70" customFormat="false" ht="15" hidden="false" customHeight="false" outlineLevel="0" collapsed="false">
      <c r="B70" s="3" t="s">
        <v>34</v>
      </c>
      <c r="C70" s="14" t="n">
        <f aca="false">'Cross-Tab'!B8/'Cross-Tab'!B11</f>
        <v>0.0821521743009869</v>
      </c>
      <c r="D70" s="14" t="n">
        <f aca="false">'Cross-Tab'!C8/'Cross-Tab'!C11</f>
        <v>0.0334092946546497</v>
      </c>
      <c r="E70" s="14" t="n">
        <f aca="false">'Cross-Tab'!D8/'Cross-Tab'!D11</f>
        <v>0.0991732285242287</v>
      </c>
      <c r="F70" s="14" t="n">
        <f aca="false">'Cross-Tab'!E8/'Cross-Tab'!E11</f>
        <v>0.00806554552126879</v>
      </c>
      <c r="G70" s="14" t="n">
        <f aca="false">'Cross-Tab'!F8/'Cross-Tab'!F11</f>
        <v>0.00196437636568301</v>
      </c>
    </row>
    <row r="71" customFormat="false" ht="15" hidden="false" customHeight="false" outlineLevel="0" collapsed="false">
      <c r="B71" s="3" t="s">
        <v>35</v>
      </c>
      <c r="C71" s="14" t="n">
        <f aca="false">'Cross-Tab'!B9/'Cross-Tab'!B11</f>
        <v>0.0313929490742177</v>
      </c>
      <c r="D71" s="14" t="n">
        <f aca="false">'Cross-Tab'!C9/'Cross-Tab'!C11</f>
        <v>0.0239084266882004</v>
      </c>
      <c r="E71" s="14" t="n">
        <f aca="false">'Cross-Tab'!D9/'Cross-Tab'!D11</f>
        <v>0.0338223521800074</v>
      </c>
      <c r="F71" s="14" t="n">
        <f aca="false">'Cross-Tab'!E9/'Cross-Tab'!E11</f>
        <v>0.00137882800948825</v>
      </c>
      <c r="G71" s="14" t="n">
        <f aca="false">'Cross-Tab'!F9/'Cross-Tab'!F11</f>
        <v>0.000445847220076368</v>
      </c>
    </row>
    <row r="72" customFormat="false" ht="15" hidden="false" customHeight="false" outlineLevel="0" collapsed="false">
      <c r="B72" s="3" t="s">
        <v>36</v>
      </c>
      <c r="C72" s="14" t="n">
        <f aca="false">'Cross-Tab'!B10/'Cross-Tab'!B11</f>
        <v>0.0618725674592221</v>
      </c>
      <c r="D72" s="14" t="n">
        <f aca="false">'Cross-Tab'!C10/'Cross-Tab'!C11</f>
        <v>0.31035303765446</v>
      </c>
      <c r="E72" s="14" t="n">
        <f aca="false">'Cross-Tab'!D10/'Cross-Tab'!D11</f>
        <v>0.0673144344094844</v>
      </c>
      <c r="F72" s="14" t="n">
        <f aca="false">'Cross-Tab'!E10/'Cross-Tab'!E11</f>
        <v>0.00499188038279208</v>
      </c>
      <c r="G72" s="14" t="n">
        <f aca="false">'Cross-Tab'!F10/'Cross-Tab'!F11</f>
        <v>0.00121246900773243</v>
      </c>
    </row>
    <row r="74" customFormat="false" ht="15" hidden="false" customHeight="false" outlineLevel="0" collapsed="false">
      <c r="B74" s="2" t="s">
        <v>59</v>
      </c>
    </row>
    <row r="75" customFormat="false" ht="15" hidden="false" customHeight="false" outlineLevel="0" collapsed="false">
      <c r="B75" s="2" t="s">
        <v>60</v>
      </c>
    </row>
    <row r="76" customFormat="false" ht="15" hidden="false" customHeight="false" outlineLevel="0" collapsed="false">
      <c r="B76" s="2" t="s">
        <v>61</v>
      </c>
      <c r="C76" s="11" t="n">
        <f aca="false">SUM(C64:C72)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2026-09-13T17:01:23Z</dcterms:created>
  <dc:creator>openpyxl</dc:creator>
  <dc:description/>
  <dc:language>en-US</dc:language>
  <cp:lastModifiedBy/>
  <dcterms:modified xsi:type="dcterms:W3CDTF">2026-09-13T17:01:23Z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